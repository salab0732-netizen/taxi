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7B727D93-3FDC-41BD-BC9C-2F4BFEB2EF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XI" sheetId="5" r:id="rId1"/>
  </sheets>
  <definedNames>
    <definedName name="_xlnm.Print_Area" localSheetId="0">TAXI!$A$1:$N$55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5" l="1"/>
  <c r="M39" i="5"/>
  <c r="M46" i="5"/>
  <c r="M40" i="5"/>
  <c r="M41" i="5"/>
  <c r="M42" i="5"/>
  <c r="M43" i="5"/>
  <c r="M44" i="5"/>
  <c r="M45" i="5"/>
  <c r="M37" i="5"/>
  <c r="K26" i="5"/>
  <c r="K21" i="5"/>
  <c r="K22" i="5"/>
  <c r="K23" i="5"/>
  <c r="K24" i="5"/>
  <c r="K25" i="5"/>
  <c r="K20" i="5"/>
  <c r="J26" i="5"/>
  <c r="J25" i="5"/>
  <c r="J24" i="5"/>
  <c r="J20" i="5"/>
  <c r="J21" i="5"/>
  <c r="L52" i="5"/>
  <c r="K44" i="5"/>
  <c r="L44" i="5"/>
  <c r="J22" i="5"/>
  <c r="H10" i="5"/>
  <c r="D10" i="5"/>
  <c r="J10" i="5"/>
  <c r="I10" i="5"/>
  <c r="C46" i="5"/>
  <c r="B52" i="5"/>
  <c r="C15" i="5"/>
  <c r="L51" i="5"/>
  <c r="K45" i="5"/>
  <c r="L45" i="5"/>
  <c r="K43" i="5"/>
  <c r="L43" i="5"/>
  <c r="K42" i="5"/>
  <c r="L42" i="5"/>
  <c r="K41" i="5"/>
  <c r="K40" i="5"/>
  <c r="L40" i="5"/>
  <c r="K39" i="5"/>
  <c r="L39" i="5"/>
  <c r="K38" i="5"/>
  <c r="L38" i="5"/>
  <c r="K37" i="5"/>
  <c r="L37" i="5"/>
  <c r="L53" i="5"/>
  <c r="L41" i="5"/>
  <c r="K46" i="5"/>
  <c r="J52" i="5"/>
  <c r="B32" i="5"/>
  <c r="J46" i="5"/>
  <c r="I52" i="5"/>
  <c r="I46" i="5"/>
  <c r="H46" i="5"/>
  <c r="G52" i="5"/>
  <c r="G46" i="5"/>
  <c r="F52" i="5"/>
  <c r="F46" i="5"/>
  <c r="E52" i="5"/>
  <c r="E46" i="5"/>
  <c r="D46" i="5"/>
  <c r="I26" i="5"/>
  <c r="I51" i="5"/>
  <c r="H26" i="5"/>
  <c r="H51" i="5"/>
  <c r="G26" i="5"/>
  <c r="G51" i="5"/>
  <c r="F26" i="5"/>
  <c r="F51" i="5"/>
  <c r="E26" i="5"/>
  <c r="E51" i="5"/>
  <c r="D26" i="5"/>
  <c r="D51" i="5"/>
  <c r="C26" i="5"/>
  <c r="C51" i="5"/>
  <c r="B26" i="5"/>
  <c r="B51" i="5"/>
  <c r="J23" i="5"/>
  <c r="F53" i="5"/>
  <c r="C52" i="5"/>
  <c r="C53" i="5"/>
  <c r="L46" i="5"/>
  <c r="D52" i="5"/>
  <c r="D53" i="5"/>
  <c r="H52" i="5"/>
  <c r="G53" i="5"/>
  <c r="E53" i="5"/>
  <c r="H53" i="5"/>
  <c r="B53" i="5"/>
  <c r="I53" i="5"/>
  <c r="J51" i="5"/>
  <c r="K52" i="5"/>
  <c r="J53" i="5"/>
  <c r="K51" i="5"/>
  <c r="E54" i="5"/>
  <c r="K53" i="5"/>
  <c r="D54" i="5"/>
  <c r="H54" i="5"/>
  <c r="C54" i="5"/>
  <c r="G54" i="5"/>
  <c r="F54" i="5"/>
  <c r="I54" i="5"/>
  <c r="B54" i="5"/>
  <c r="J54" i="5"/>
</calcChain>
</file>

<file path=xl/sharedStrings.xml><?xml version="1.0" encoding="utf-8"?>
<sst xmlns="http://schemas.openxmlformats.org/spreadsheetml/2006/main" count="81" uniqueCount="59">
  <si>
    <t>%</t>
  </si>
  <si>
    <t>Tranches d'âges (ans)</t>
  </si>
  <si>
    <t xml:space="preserve">   Age moyen (ans)</t>
  </si>
  <si>
    <t>Licences</t>
  </si>
  <si>
    <t>Licences attribuées</t>
  </si>
  <si>
    <t>Total licences attribuées</t>
  </si>
  <si>
    <t>Licences exploitées</t>
  </si>
  <si>
    <t>Total licences exploitées</t>
  </si>
  <si>
    <t>Moudjahidine /vves chahid</t>
  </si>
  <si>
    <t>particuliers</t>
  </si>
  <si>
    <t>Bénéficiaires directs</t>
  </si>
  <si>
    <t>Locataires</t>
  </si>
  <si>
    <t>Nombre</t>
  </si>
  <si>
    <t>Exploitants</t>
  </si>
  <si>
    <t>Doubleurs</t>
  </si>
  <si>
    <t>Total</t>
  </si>
  <si>
    <t>Mode d'exploitation</t>
  </si>
  <si>
    <t>De 05 ans à moins de 10 ans [5,10[</t>
  </si>
  <si>
    <t>De 10 ans à moins de 15 ans [10,15[</t>
  </si>
  <si>
    <t>De 15 ans à moins de 20 ans [15,20[</t>
  </si>
  <si>
    <t>De 20 ans à moins de 25 ans [20,25[</t>
  </si>
  <si>
    <t>De 25 ans à moins de 30 ans [25,30[</t>
  </si>
  <si>
    <t>De 30 ans à moins de 35 ans [30,35[</t>
  </si>
  <si>
    <t>De 35 ans et plus [35,et plus[</t>
  </si>
  <si>
    <t>Taxis individuels</t>
  </si>
  <si>
    <t>Taxis collectifs urbains</t>
  </si>
  <si>
    <t>Taxis collectifs inter-wilayas</t>
  </si>
  <si>
    <t>Nombre de societé taxis</t>
  </si>
  <si>
    <t>Nombre total de conducteurs</t>
  </si>
  <si>
    <t>parc</t>
  </si>
  <si>
    <t>Nbre de conducteurs</t>
  </si>
  <si>
    <t>N°</t>
  </si>
  <si>
    <t>Nom de la société</t>
  </si>
  <si>
    <t>Taxis collectifs inter-communal</t>
  </si>
  <si>
    <t>Taxis collectifs inter-urbains</t>
  </si>
  <si>
    <t>n</t>
  </si>
  <si>
    <t xml:space="preserve">Fourgons </t>
  </si>
  <si>
    <t>Moins de
 05 ans</t>
  </si>
  <si>
    <t xml:space="preserve">Moins de
 05 ans </t>
  </si>
  <si>
    <t xml:space="preserve">Total 
</t>
  </si>
  <si>
    <t>2) NOMBRE DE CHAUFFEURS DE TAXIS:</t>
  </si>
  <si>
    <t>3) REPARTITION DU PARC TAXIS SELON L'AGE:</t>
  </si>
  <si>
    <t xml:space="preserve">4)STATISTIQUES RELATIVES A L'ACTIVITE DES SOCIETE DE TAXIS: </t>
  </si>
  <si>
    <t>Conducteurs</t>
  </si>
  <si>
    <t xml:space="preserve"> Taxis</t>
  </si>
  <si>
    <t>Société de Taxis</t>
  </si>
  <si>
    <t>licences exploitées
(%)</t>
  </si>
  <si>
    <t>Total licences non exploitées</t>
  </si>
  <si>
    <t>RÉCAPITULATION</t>
  </si>
  <si>
    <t>Total (Parc)</t>
  </si>
  <si>
    <r>
      <t>1) ETAT DES LICENCES DE TAXIS ATTRIBUEES ET EXPLOITEES</t>
    </r>
    <r>
      <rPr>
        <b/>
        <sz val="16"/>
        <color theme="1"/>
        <rFont val="Arial"/>
        <family val="2"/>
      </rPr>
      <t>:</t>
    </r>
  </si>
  <si>
    <r>
      <rPr>
        <b/>
        <sz val="18"/>
        <color theme="1"/>
        <rFont val="Arial"/>
        <family val="2"/>
      </rPr>
      <t>Canevas n°03</t>
    </r>
    <r>
      <rPr>
        <sz val="18"/>
        <color theme="1"/>
        <rFont val="Arial"/>
        <family val="2"/>
      </rPr>
      <t xml:space="preserve"> Activité Taxis</t>
    </r>
  </si>
  <si>
    <t>5)RÉPARTITION DU PARC DES SOCIÉTÉS DE TAXIS SELON L'ÂGE:</t>
  </si>
  <si>
    <t>Opérationnelle (Date)</t>
  </si>
  <si>
    <t>WILAYA DE   ELBAYADH ……………………………</t>
  </si>
  <si>
    <t>TRIMESTRE : ……01…</t>
  </si>
  <si>
    <t>BLANDI</t>
  </si>
  <si>
    <t>LAGERMI</t>
  </si>
  <si>
    <t>ANNEE 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</si>
</sst>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8"/>
      <name val="Arial"/>
      <family val="2"/>
    </font>
    <font>
      <b/>
      <u/>
      <sz val="8"/>
      <color theme="1"/>
      <name val="Arial"/>
      <family val="2"/>
    </font>
    <font>
      <b/>
      <u/>
      <sz val="14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u/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0" fontId="5" fillId="2" borderId="0" xfId="0" applyFont="1" applyFill="1"/>
    <xf numFmtId="0" fontId="1" fillId="2" borderId="0" xfId="0" applyFont="1" applyFill="1"/>
    <xf numFmtId="0" fontId="7" fillId="2" borderId="0" xfId="1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8" fillId="0" borderId="0" xfId="0" applyFont="1"/>
    <xf numFmtId="0" fontId="8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1" applyFont="1" applyFill="1" applyAlignment="1">
      <alignment vertical="center"/>
    </xf>
    <xf numFmtId="0" fontId="10" fillId="2" borderId="1" xfId="0" applyFont="1" applyFill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 wrapText="1" readingOrder="1"/>
    </xf>
    <xf numFmtId="0" fontId="15" fillId="0" borderId="0" xfId="0" applyFont="1" applyAlignment="1">
      <alignment horizontal="left" vertical="center" readingOrder="1"/>
    </xf>
    <xf numFmtId="0" fontId="10" fillId="0" borderId="1" xfId="0" applyFont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 readingOrder="1"/>
    </xf>
    <xf numFmtId="0" fontId="15" fillId="2" borderId="0" xfId="0" applyFont="1" applyFill="1"/>
    <xf numFmtId="0" fontId="14" fillId="2" borderId="0" xfId="0" applyFont="1" applyFill="1"/>
    <xf numFmtId="0" fontId="15" fillId="0" borderId="0" xfId="0" applyFont="1"/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3" fillId="2" borderId="0" xfId="0" applyFont="1" applyFill="1"/>
    <xf numFmtId="0" fontId="10" fillId="3" borderId="2" xfId="0" applyFont="1" applyFill="1" applyBorder="1" applyAlignment="1">
      <alignment horizontal="center"/>
    </xf>
    <xf numFmtId="0" fontId="0" fillId="0" borderId="11" xfId="0" applyBorder="1"/>
    <xf numFmtId="0" fontId="17" fillId="3" borderId="0" xfId="0" applyFont="1" applyFill="1"/>
    <xf numFmtId="0" fontId="11" fillId="2" borderId="0" xfId="1" applyFont="1" applyFill="1" applyAlignment="1">
      <alignment vertical="center"/>
    </xf>
    <xf numFmtId="0" fontId="9" fillId="2" borderId="0" xfId="1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 readingOrder="1"/>
    </xf>
    <xf numFmtId="2" fontId="14" fillId="3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 readingOrder="1"/>
    </xf>
    <xf numFmtId="2" fontId="14" fillId="3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/>
    </xf>
    <xf numFmtId="0" fontId="0" fillId="0" borderId="12" xfId="0" applyBorder="1"/>
    <xf numFmtId="0" fontId="10" fillId="3" borderId="3" xfId="0" applyFont="1" applyFill="1" applyBorder="1" applyAlignment="1">
      <alignment horizontal="center"/>
    </xf>
    <xf numFmtId="3" fontId="12" fillId="3" borderId="7" xfId="0" applyNumberFormat="1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2" fontId="14" fillId="3" borderId="2" xfId="0" applyNumberFormat="1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8" fillId="0" borderId="9" xfId="0" applyFont="1" applyBorder="1"/>
    <xf numFmtId="2" fontId="14" fillId="3" borderId="3" xfId="0" applyNumberFormat="1" applyFont="1" applyFill="1" applyBorder="1" applyAlignment="1">
      <alignment horizontal="center"/>
    </xf>
    <xf numFmtId="0" fontId="18" fillId="0" borderId="10" xfId="0" applyFont="1" applyBorder="1"/>
    <xf numFmtId="0" fontId="14" fillId="3" borderId="3" xfId="0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center" vertical="center"/>
    </xf>
    <xf numFmtId="4" fontId="3" fillId="3" borderId="8" xfId="0" applyNumberFormat="1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/>
    </xf>
    <xf numFmtId="4" fontId="3" fillId="3" borderId="13" xfId="0" applyNumberFormat="1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 wrapText="1" readingOrder="1"/>
    </xf>
    <xf numFmtId="0" fontId="11" fillId="2" borderId="0" xfId="1" applyFont="1" applyFill="1" applyAlignment="1">
      <alignment vertical="center"/>
    </xf>
    <xf numFmtId="0" fontId="10" fillId="2" borderId="1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FF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55"/>
  <sheetViews>
    <sheetView tabSelected="1" view="pageBreakPreview" zoomScale="60" zoomScaleNormal="75" workbookViewId="0">
      <pane ySplit="4" topLeftCell="A5" activePane="bottomLeft" state="frozen"/>
      <selection pane="bottomLeft" activeCell="A15" sqref="A15"/>
    </sheetView>
  </sheetViews>
  <sheetFormatPr baseColWidth="10" defaultColWidth="10.75" defaultRowHeight="14.25" x14ac:dyDescent="0.2"/>
  <cols>
    <col min="1" max="1" width="43" customWidth="1"/>
    <col min="2" max="2" width="19.375" customWidth="1"/>
    <col min="3" max="3" width="19.875" customWidth="1"/>
    <col min="4" max="4" width="20.875" customWidth="1"/>
    <col min="5" max="6" width="18.375" customWidth="1"/>
    <col min="7" max="7" width="18.875" customWidth="1"/>
    <col min="8" max="8" width="18.625" customWidth="1"/>
    <col min="9" max="9" width="21.125" customWidth="1"/>
    <col min="10" max="10" width="20.5" customWidth="1"/>
    <col min="11" max="11" width="14.375" customWidth="1"/>
    <col min="12" max="12" width="18.75" bestFit="1" customWidth="1"/>
    <col min="13" max="13" width="19.25" customWidth="1"/>
    <col min="14" max="14" width="23.75" customWidth="1"/>
  </cols>
  <sheetData>
    <row r="1" spans="1:11" ht="23.25" x14ac:dyDescent="0.35">
      <c r="A1" s="23" t="s">
        <v>51</v>
      </c>
      <c r="B1" s="20"/>
      <c r="C1" s="1"/>
      <c r="D1" s="1"/>
      <c r="E1" s="1"/>
      <c r="F1" s="1"/>
      <c r="G1" s="1"/>
      <c r="H1" s="1"/>
      <c r="I1" s="1"/>
      <c r="J1" s="1"/>
      <c r="K1" s="2"/>
    </row>
    <row r="2" spans="1:11" ht="18" x14ac:dyDescent="0.2">
      <c r="A2" s="24" t="s">
        <v>54</v>
      </c>
      <c r="B2" s="24"/>
      <c r="C2" s="24"/>
      <c r="D2" s="24"/>
      <c r="E2" s="1"/>
      <c r="F2" s="1"/>
      <c r="G2" s="1"/>
      <c r="H2" s="1"/>
      <c r="I2" s="1"/>
      <c r="J2" s="1"/>
      <c r="K2" s="2"/>
    </row>
    <row r="3" spans="1:11" ht="18" x14ac:dyDescent="0.2">
      <c r="A3" s="54" t="s">
        <v>58</v>
      </c>
      <c r="B3" s="54"/>
      <c r="C3" s="54"/>
      <c r="D3" s="54"/>
      <c r="E3" s="1"/>
      <c r="F3" s="1"/>
      <c r="G3" s="1"/>
      <c r="H3" s="1"/>
      <c r="I3" s="1"/>
      <c r="J3" s="1"/>
      <c r="K3" s="2"/>
    </row>
    <row r="4" spans="1:11" ht="18" x14ac:dyDescent="0.2">
      <c r="A4" s="24" t="s">
        <v>55</v>
      </c>
      <c r="B4" s="25"/>
      <c r="C4" s="24"/>
      <c r="D4" s="24"/>
      <c r="E4" s="1"/>
      <c r="F4" s="1"/>
      <c r="G4" s="1"/>
      <c r="H4" s="1"/>
      <c r="I4" s="1"/>
      <c r="J4" s="1"/>
      <c r="K4" s="2"/>
    </row>
    <row r="5" spans="1:11" x14ac:dyDescent="0.2">
      <c r="A5" s="8"/>
      <c r="B5" s="3"/>
      <c r="C5" s="8"/>
      <c r="D5" s="8"/>
      <c r="E5" s="1"/>
      <c r="F5" s="1"/>
      <c r="G5" s="1"/>
      <c r="H5" s="1"/>
    </row>
    <row r="6" spans="1:11" ht="20.25" x14ac:dyDescent="0.2">
      <c r="A6" s="11" t="s">
        <v>50</v>
      </c>
      <c r="B6" s="1"/>
      <c r="C6" s="1"/>
      <c r="D6" s="1"/>
      <c r="E6" s="1"/>
      <c r="F6" s="1"/>
      <c r="G6" s="1"/>
      <c r="H6" s="1"/>
    </row>
    <row r="7" spans="1:11" x14ac:dyDescent="0.2">
      <c r="A7" s="1"/>
      <c r="B7" s="1"/>
      <c r="C7" s="1"/>
      <c r="D7" s="1"/>
      <c r="E7" s="1"/>
      <c r="F7" s="1"/>
      <c r="G7" s="1"/>
      <c r="H7" s="1"/>
    </row>
    <row r="8" spans="1:11" ht="15" customHeight="1" x14ac:dyDescent="0.2">
      <c r="A8" s="55" t="s">
        <v>3</v>
      </c>
      <c r="B8" s="55" t="s">
        <v>4</v>
      </c>
      <c r="C8" s="55"/>
      <c r="D8" s="53" t="s">
        <v>5</v>
      </c>
      <c r="E8" s="55" t="s">
        <v>6</v>
      </c>
      <c r="F8" s="55"/>
      <c r="G8" s="55"/>
      <c r="H8" s="53" t="s">
        <v>7</v>
      </c>
      <c r="I8" s="53" t="s">
        <v>46</v>
      </c>
      <c r="J8" s="53" t="s">
        <v>47</v>
      </c>
    </row>
    <row r="9" spans="1:11" ht="42.75" customHeight="1" x14ac:dyDescent="0.2">
      <c r="A9" s="55"/>
      <c r="B9" s="9" t="s">
        <v>8</v>
      </c>
      <c r="C9" s="9" t="s">
        <v>9</v>
      </c>
      <c r="D9" s="53"/>
      <c r="E9" s="9" t="s">
        <v>10</v>
      </c>
      <c r="F9" s="9" t="s">
        <v>9</v>
      </c>
      <c r="G9" s="9" t="s">
        <v>11</v>
      </c>
      <c r="H9" s="53"/>
      <c r="I9" s="53"/>
      <c r="J9" s="53"/>
    </row>
    <row r="10" spans="1:11" ht="20.25" x14ac:dyDescent="0.3">
      <c r="A10" s="9" t="s">
        <v>12</v>
      </c>
      <c r="B10" s="27">
        <v>2124</v>
      </c>
      <c r="C10" s="27">
        <v>0</v>
      </c>
      <c r="D10" s="28">
        <f>SUM(B10:C10)</f>
        <v>2124</v>
      </c>
      <c r="E10" s="27">
        <v>30</v>
      </c>
      <c r="F10" s="27">
        <v>0</v>
      </c>
      <c r="G10" s="27">
        <v>1423</v>
      </c>
      <c r="H10" s="28">
        <f>SUM(E10:G10)</f>
        <v>1453</v>
      </c>
      <c r="I10" s="29">
        <f>H10*100/D10</f>
        <v>68.408662900188318</v>
      </c>
      <c r="J10" s="28">
        <f>D10-H10</f>
        <v>671</v>
      </c>
    </row>
    <row r="11" spans="1:11" x14ac:dyDescent="0.2">
      <c r="A11" s="1"/>
      <c r="B11" s="1"/>
      <c r="C11" s="1"/>
    </row>
    <row r="12" spans="1:11" ht="20.25" x14ac:dyDescent="0.2">
      <c r="A12" s="11" t="s">
        <v>40</v>
      </c>
      <c r="B12" s="1"/>
      <c r="C12" s="1"/>
    </row>
    <row r="13" spans="1:11" x14ac:dyDescent="0.2">
      <c r="A13" s="1"/>
      <c r="B13" s="1"/>
      <c r="C13" s="1"/>
    </row>
    <row r="14" spans="1:11" ht="18" x14ac:dyDescent="0.2">
      <c r="A14" s="10" t="s">
        <v>13</v>
      </c>
      <c r="B14" s="12" t="s">
        <v>14</v>
      </c>
      <c r="C14" s="10" t="s">
        <v>15</v>
      </c>
    </row>
    <row r="15" spans="1:11" ht="20.25" x14ac:dyDescent="0.2">
      <c r="A15" s="28">
        <v>1453</v>
      </c>
      <c r="B15" s="30">
        <v>335</v>
      </c>
      <c r="C15" s="28">
        <f>SUM(A15:B15)</f>
        <v>1788</v>
      </c>
    </row>
    <row r="16" spans="1:11" x14ac:dyDescent="0.2">
      <c r="A16" s="1"/>
      <c r="B16" s="1"/>
      <c r="C16" s="1"/>
    </row>
    <row r="17" spans="1:11" ht="20.25" x14ac:dyDescent="0.2">
      <c r="A17" s="11" t="s">
        <v>41</v>
      </c>
      <c r="B17" s="1"/>
      <c r="C17" s="1"/>
    </row>
    <row r="18" spans="1:11" x14ac:dyDescent="0.2">
      <c r="A18" s="1"/>
      <c r="B18" s="1"/>
      <c r="C18" s="1"/>
    </row>
    <row r="19" spans="1:11" ht="54" x14ac:dyDescent="0.2">
      <c r="A19" s="12" t="s">
        <v>16</v>
      </c>
      <c r="B19" s="12" t="s">
        <v>38</v>
      </c>
      <c r="C19" s="12" t="s">
        <v>17</v>
      </c>
      <c r="D19" s="12" t="s">
        <v>18</v>
      </c>
      <c r="E19" s="12" t="s">
        <v>19</v>
      </c>
      <c r="F19" s="12" t="s">
        <v>20</v>
      </c>
      <c r="G19" s="12" t="s">
        <v>21</v>
      </c>
      <c r="H19" s="12" t="s">
        <v>22</v>
      </c>
      <c r="I19" s="12" t="s">
        <v>23</v>
      </c>
      <c r="J19" s="10" t="s">
        <v>15</v>
      </c>
      <c r="K19" s="26" t="s">
        <v>2</v>
      </c>
    </row>
    <row r="20" spans="1:11" ht="15.75" customHeight="1" x14ac:dyDescent="0.2">
      <c r="A20" s="12" t="s">
        <v>24</v>
      </c>
      <c r="B20" s="30">
        <v>0</v>
      </c>
      <c r="C20" s="30">
        <v>40</v>
      </c>
      <c r="D20" s="30">
        <v>417</v>
      </c>
      <c r="E20" s="30">
        <v>417</v>
      </c>
      <c r="F20" s="30">
        <v>167</v>
      </c>
      <c r="G20" s="30">
        <v>67</v>
      </c>
      <c r="H20" s="30">
        <v>13</v>
      </c>
      <c r="I20" s="30">
        <v>8</v>
      </c>
      <c r="J20" s="28">
        <f>SUM(B20:I20)</f>
        <v>1129</v>
      </c>
      <c r="K20" s="31">
        <f t="shared" ref="K20:K25" si="0">(B20*2.5+C20*7.5+D20*12.5+E20*17.5+F20*22.5+G20*27.5+H20*32.5+I20*37.5)/J20</f>
        <v>16.946412754650133</v>
      </c>
    </row>
    <row r="21" spans="1:11" ht="20.25" x14ac:dyDescent="0.2">
      <c r="A21" s="12" t="s">
        <v>25</v>
      </c>
      <c r="B21" s="30">
        <v>0</v>
      </c>
      <c r="C21" s="30">
        <v>3</v>
      </c>
      <c r="D21" s="30">
        <v>40</v>
      </c>
      <c r="E21" s="30">
        <v>39</v>
      </c>
      <c r="F21" s="30">
        <v>19</v>
      </c>
      <c r="G21" s="30">
        <v>10</v>
      </c>
      <c r="H21" s="30">
        <v>1</v>
      </c>
      <c r="I21" s="30">
        <v>0</v>
      </c>
      <c r="J21" s="28">
        <f>SUM(B21:I21)</f>
        <v>112</v>
      </c>
      <c r="K21" s="31">
        <f t="shared" si="0"/>
        <v>17.321428571428573</v>
      </c>
    </row>
    <row r="22" spans="1:11" ht="20.25" x14ac:dyDescent="0.2">
      <c r="A22" s="12" t="s">
        <v>34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28">
        <f>SUM(B22:I22)</f>
        <v>0</v>
      </c>
      <c r="K22" s="31" t="e">
        <f t="shared" si="0"/>
        <v>#DIV/0!</v>
      </c>
    </row>
    <row r="23" spans="1:11" ht="21" customHeight="1" x14ac:dyDescent="0.2">
      <c r="A23" s="12" t="s">
        <v>33</v>
      </c>
      <c r="B23" s="30">
        <v>0</v>
      </c>
      <c r="C23" s="30">
        <v>0</v>
      </c>
      <c r="D23" s="30">
        <v>23</v>
      </c>
      <c r="E23" s="30">
        <v>18</v>
      </c>
      <c r="F23" s="30">
        <v>5</v>
      </c>
      <c r="G23" s="30">
        <v>3</v>
      </c>
      <c r="H23" s="30">
        <v>1</v>
      </c>
      <c r="I23" s="30">
        <v>0</v>
      </c>
      <c r="J23" s="28">
        <f t="shared" ref="J23" si="1">SUM(B23:I23)</f>
        <v>50</v>
      </c>
      <c r="K23" s="31">
        <f t="shared" si="0"/>
        <v>16.600000000000001</v>
      </c>
    </row>
    <row r="24" spans="1:11" ht="20.25" x14ac:dyDescent="0.2">
      <c r="A24" s="12" t="s">
        <v>26</v>
      </c>
      <c r="B24" s="30">
        <v>0</v>
      </c>
      <c r="C24" s="30">
        <v>7</v>
      </c>
      <c r="D24" s="30">
        <v>60</v>
      </c>
      <c r="E24" s="30">
        <v>61</v>
      </c>
      <c r="F24" s="30">
        <v>21</v>
      </c>
      <c r="G24" s="30">
        <v>9</v>
      </c>
      <c r="H24" s="30">
        <v>1</v>
      </c>
      <c r="I24" s="30">
        <v>3</v>
      </c>
      <c r="J24" s="28">
        <f>SUM(B24:I24)</f>
        <v>162</v>
      </c>
      <c r="K24" s="31">
        <f t="shared" si="0"/>
        <v>16.882716049382715</v>
      </c>
    </row>
    <row r="25" spans="1:11" ht="20.25" x14ac:dyDescent="0.2">
      <c r="A25" s="12" t="s">
        <v>36</v>
      </c>
      <c r="B25" s="30">
        <v>0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28">
        <f>SUM(B25:I25)</f>
        <v>0</v>
      </c>
      <c r="K25" s="31" t="e">
        <f t="shared" si="0"/>
        <v>#DIV/0!</v>
      </c>
    </row>
    <row r="26" spans="1:11" ht="20.25" x14ac:dyDescent="0.2">
      <c r="A26" s="10" t="s">
        <v>15</v>
      </c>
      <c r="B26" s="28">
        <f t="shared" ref="B26:I26" si="2">SUM(B21:B24)</f>
        <v>0</v>
      </c>
      <c r="C26" s="28">
        <f t="shared" si="2"/>
        <v>10</v>
      </c>
      <c r="D26" s="28">
        <f t="shared" si="2"/>
        <v>123</v>
      </c>
      <c r="E26" s="28">
        <f t="shared" si="2"/>
        <v>118</v>
      </c>
      <c r="F26" s="28">
        <f t="shared" si="2"/>
        <v>45</v>
      </c>
      <c r="G26" s="28">
        <f t="shared" si="2"/>
        <v>22</v>
      </c>
      <c r="H26" s="28">
        <f t="shared" si="2"/>
        <v>3</v>
      </c>
      <c r="I26" s="28">
        <f t="shared" si="2"/>
        <v>3</v>
      </c>
      <c r="J26" s="28">
        <f>SUM(J20:J25)</f>
        <v>1453</v>
      </c>
      <c r="K26" s="31">
        <f>((B20+B21+B22+B23+B24+B25)*2.5+(C20+C21+C22+C23+C24+C25)*7.5+(D20+D21+D22+D23+D24+D25)*12.5+(E20+E21+E22+E23+E24+E25)*17.5+(F20+F21+F22+F23+F24+F25)*22.5+(G20+G21+G22+G23+G24+G25)*27.5+(H20+H21+H22+H23+H24+H25)*32.5+(I20+I21+I22+I23+I24+I25)*37.5)/J26</f>
        <v>16.956297315898141</v>
      </c>
    </row>
    <row r="27" spans="1:11" x14ac:dyDescent="0.2">
      <c r="A27" s="1"/>
      <c r="B27" s="1"/>
    </row>
    <row r="28" spans="1:11" ht="20.25" x14ac:dyDescent="0.2">
      <c r="A28" s="11" t="s">
        <v>42</v>
      </c>
      <c r="B28" s="1"/>
    </row>
    <row r="29" spans="1:11" x14ac:dyDescent="0.2">
      <c r="A29" s="1"/>
      <c r="B29" s="1"/>
    </row>
    <row r="30" spans="1:11" ht="20.25" x14ac:dyDescent="0.25">
      <c r="A30" s="13" t="s">
        <v>27</v>
      </c>
      <c r="B30" s="30" t="s">
        <v>35</v>
      </c>
    </row>
    <row r="31" spans="1:11" ht="20.25" x14ac:dyDescent="0.25">
      <c r="A31" s="13" t="s">
        <v>28</v>
      </c>
      <c r="B31" s="32">
        <v>84</v>
      </c>
    </row>
    <row r="32" spans="1:11" ht="20.25" x14ac:dyDescent="0.25">
      <c r="A32" s="13" t="s">
        <v>29</v>
      </c>
      <c r="B32" s="32">
        <f>K46</f>
        <v>84</v>
      </c>
    </row>
    <row r="33" spans="1:14" x14ac:dyDescent="0.2">
      <c r="A33" s="4"/>
      <c r="B33" s="1"/>
    </row>
    <row r="34" spans="1:14" ht="20.25" x14ac:dyDescent="0.3">
      <c r="A34" s="15" t="s">
        <v>52</v>
      </c>
      <c r="B34" s="16"/>
    </row>
    <row r="35" spans="1:14" ht="15.75" customHeight="1" x14ac:dyDescent="0.2">
      <c r="A35" s="6"/>
      <c r="B35" s="7"/>
      <c r="C35" s="1"/>
    </row>
    <row r="36" spans="1:14" ht="54" x14ac:dyDescent="0.2">
      <c r="A36" s="12" t="s">
        <v>31</v>
      </c>
      <c r="B36" s="12" t="s">
        <v>32</v>
      </c>
      <c r="C36" s="12" t="s">
        <v>37</v>
      </c>
      <c r="D36" s="12" t="s">
        <v>17</v>
      </c>
      <c r="E36" s="12" t="s">
        <v>18</v>
      </c>
      <c r="F36" s="12" t="s">
        <v>19</v>
      </c>
      <c r="G36" s="12" t="s">
        <v>20</v>
      </c>
      <c r="H36" s="12" t="s">
        <v>21</v>
      </c>
      <c r="I36" s="12" t="s">
        <v>22</v>
      </c>
      <c r="J36" s="12" t="s">
        <v>23</v>
      </c>
      <c r="K36" s="10" t="s">
        <v>39</v>
      </c>
      <c r="L36" s="26" t="s">
        <v>2</v>
      </c>
      <c r="M36" s="12" t="s">
        <v>30</v>
      </c>
      <c r="N36" s="12" t="s">
        <v>53</v>
      </c>
    </row>
    <row r="37" spans="1:14" ht="20.25" x14ac:dyDescent="0.3">
      <c r="A37" s="12">
        <v>1</v>
      </c>
      <c r="B37" s="12" t="s">
        <v>56</v>
      </c>
      <c r="C37" s="30">
        <v>1</v>
      </c>
      <c r="D37" s="30">
        <v>0</v>
      </c>
      <c r="E37" s="30">
        <v>18</v>
      </c>
      <c r="F37" s="30">
        <v>12</v>
      </c>
      <c r="G37" s="30">
        <v>7</v>
      </c>
      <c r="H37" s="30">
        <v>1</v>
      </c>
      <c r="I37" s="30">
        <v>2</v>
      </c>
      <c r="J37" s="30">
        <v>0</v>
      </c>
      <c r="K37" s="28">
        <f t="shared" ref="K37:K45" si="3">SUM(C37:J37)</f>
        <v>41</v>
      </c>
      <c r="L37" s="29">
        <f>(C37*2.5+D37*7.5+E37*12.5+F37*17.5+G37*22.5+H37*27.5+I37*32.5+J37*37.5)/K37</f>
        <v>16.76829268292683</v>
      </c>
      <c r="M37" s="30">
        <f>SUM(K37)</f>
        <v>41</v>
      </c>
      <c r="N37" s="52">
        <v>41400</v>
      </c>
    </row>
    <row r="38" spans="1:14" ht="20.25" x14ac:dyDescent="0.3">
      <c r="A38" s="12">
        <v>2</v>
      </c>
      <c r="B38" s="12" t="s">
        <v>57</v>
      </c>
      <c r="C38" s="30">
        <v>0</v>
      </c>
      <c r="D38" s="30">
        <v>0</v>
      </c>
      <c r="E38" s="30">
        <v>9</v>
      </c>
      <c r="F38" s="30">
        <v>18</v>
      </c>
      <c r="G38" s="30">
        <v>13</v>
      </c>
      <c r="H38" s="30">
        <v>1</v>
      </c>
      <c r="I38" s="30">
        <v>0</v>
      </c>
      <c r="J38" s="30">
        <v>2</v>
      </c>
      <c r="K38" s="28">
        <f t="shared" si="3"/>
        <v>43</v>
      </c>
      <c r="L38" s="29">
        <f t="shared" ref="L38:L44" si="4">(C38*2.5+D38*7.5+E38*12.5+F38*17.5+G38*22.5+H38*27.5+I38*32.5+J38*37.5)/K38</f>
        <v>19.127906976744185</v>
      </c>
      <c r="M38" s="30">
        <f t="shared" ref="M38:M45" si="5">SUM(K38)</f>
        <v>43</v>
      </c>
      <c r="N38" s="52">
        <v>45557</v>
      </c>
    </row>
    <row r="39" spans="1:14" ht="20.25" x14ac:dyDescent="0.3">
      <c r="A39" s="12">
        <v>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28">
        <f t="shared" si="3"/>
        <v>0</v>
      </c>
      <c r="L39" s="29" t="e">
        <f t="shared" si="4"/>
        <v>#DIV/0!</v>
      </c>
      <c r="M39" s="30">
        <f t="shared" si="5"/>
        <v>0</v>
      </c>
      <c r="N39" s="30"/>
    </row>
    <row r="40" spans="1:14" ht="20.25" x14ac:dyDescent="0.3">
      <c r="A40" s="12"/>
      <c r="B40" s="12"/>
      <c r="C40" s="30"/>
      <c r="D40" s="30"/>
      <c r="E40" s="30"/>
      <c r="F40" s="30"/>
      <c r="G40" s="30"/>
      <c r="H40" s="30"/>
      <c r="I40" s="30"/>
      <c r="J40" s="30"/>
      <c r="K40" s="28">
        <f t="shared" si="3"/>
        <v>0</v>
      </c>
      <c r="L40" s="29" t="e">
        <f t="shared" si="4"/>
        <v>#DIV/0!</v>
      </c>
      <c r="M40" s="30">
        <f t="shared" si="5"/>
        <v>0</v>
      </c>
      <c r="N40" s="30"/>
    </row>
    <row r="41" spans="1:14" ht="20.25" x14ac:dyDescent="0.3">
      <c r="A41" s="12"/>
      <c r="B41" s="12"/>
      <c r="C41" s="30"/>
      <c r="D41" s="30"/>
      <c r="E41" s="30"/>
      <c r="F41" s="30"/>
      <c r="G41" s="30"/>
      <c r="H41" s="30"/>
      <c r="I41" s="30"/>
      <c r="J41" s="30"/>
      <c r="K41" s="28">
        <f t="shared" si="3"/>
        <v>0</v>
      </c>
      <c r="L41" s="29" t="e">
        <f t="shared" si="4"/>
        <v>#DIV/0!</v>
      </c>
      <c r="M41" s="30">
        <f t="shared" si="5"/>
        <v>0</v>
      </c>
      <c r="N41" s="30"/>
    </row>
    <row r="42" spans="1:14" ht="20.25" x14ac:dyDescent="0.3">
      <c r="A42" s="12"/>
      <c r="B42" s="12"/>
      <c r="C42" s="30"/>
      <c r="D42" s="30"/>
      <c r="E42" s="30"/>
      <c r="F42" s="30"/>
      <c r="G42" s="30"/>
      <c r="H42" s="30"/>
      <c r="I42" s="30"/>
      <c r="J42" s="30"/>
      <c r="K42" s="28">
        <f t="shared" si="3"/>
        <v>0</v>
      </c>
      <c r="L42" s="29" t="e">
        <f t="shared" si="4"/>
        <v>#DIV/0!</v>
      </c>
      <c r="M42" s="30">
        <f t="shared" si="5"/>
        <v>0</v>
      </c>
      <c r="N42" s="30"/>
    </row>
    <row r="43" spans="1:14" ht="20.25" x14ac:dyDescent="0.3">
      <c r="A43" s="12"/>
      <c r="B43" s="12"/>
      <c r="C43" s="30"/>
      <c r="D43" s="30"/>
      <c r="E43" s="30"/>
      <c r="F43" s="30"/>
      <c r="G43" s="30"/>
      <c r="H43" s="30"/>
      <c r="I43" s="30"/>
      <c r="J43" s="30"/>
      <c r="K43" s="28">
        <f t="shared" si="3"/>
        <v>0</v>
      </c>
      <c r="L43" s="29" t="e">
        <f t="shared" si="4"/>
        <v>#DIV/0!</v>
      </c>
      <c r="M43" s="30">
        <f t="shared" si="5"/>
        <v>0</v>
      </c>
      <c r="N43" s="30"/>
    </row>
    <row r="44" spans="1:14" ht="20.25" x14ac:dyDescent="0.3">
      <c r="A44" s="12"/>
      <c r="B44" s="12"/>
      <c r="C44" s="30"/>
      <c r="D44" s="30"/>
      <c r="E44" s="30"/>
      <c r="F44" s="30"/>
      <c r="G44" s="30"/>
      <c r="H44" s="30"/>
      <c r="I44" s="30"/>
      <c r="J44" s="30"/>
      <c r="K44" s="28">
        <f>SUM(C44:J44)</f>
        <v>0</v>
      </c>
      <c r="L44" s="29" t="e">
        <f t="shared" si="4"/>
        <v>#DIV/0!</v>
      </c>
      <c r="M44" s="30">
        <f t="shared" si="5"/>
        <v>0</v>
      </c>
      <c r="N44" s="30"/>
    </row>
    <row r="45" spans="1:14" ht="20.25" x14ac:dyDescent="0.3">
      <c r="A45" s="12">
        <v>2</v>
      </c>
      <c r="B45" s="12"/>
      <c r="C45" s="30"/>
      <c r="D45" s="30"/>
      <c r="E45" s="30"/>
      <c r="F45" s="30"/>
      <c r="G45" s="30"/>
      <c r="H45" s="30"/>
      <c r="I45" s="30"/>
      <c r="J45" s="30"/>
      <c r="K45" s="28">
        <f t="shared" si="3"/>
        <v>0</v>
      </c>
      <c r="L45" s="29" t="e">
        <f>(C45*2.5+D45*7.5+E45*12.5+F45*17.5+G45*22.5+H45*27.5+I45*32.5+J45*37.5)/K45</f>
        <v>#DIV/0!</v>
      </c>
      <c r="M45" s="30">
        <f t="shared" si="5"/>
        <v>0</v>
      </c>
      <c r="N45" s="30"/>
    </row>
    <row r="46" spans="1:14" ht="20.25" x14ac:dyDescent="0.3">
      <c r="A46" s="14" t="s">
        <v>15</v>
      </c>
      <c r="B46" s="33">
        <v>2</v>
      </c>
      <c r="C46" s="33">
        <f>SUM(C37:C45)</f>
        <v>1</v>
      </c>
      <c r="D46" s="33">
        <f t="shared" ref="D46:J46" si="6">SUM(D37:D45)</f>
        <v>0</v>
      </c>
      <c r="E46" s="33">
        <f t="shared" si="6"/>
        <v>27</v>
      </c>
      <c r="F46" s="33">
        <f t="shared" si="6"/>
        <v>30</v>
      </c>
      <c r="G46" s="33">
        <f t="shared" si="6"/>
        <v>20</v>
      </c>
      <c r="H46" s="33">
        <f t="shared" si="6"/>
        <v>2</v>
      </c>
      <c r="I46" s="33">
        <f t="shared" si="6"/>
        <v>2</v>
      </c>
      <c r="J46" s="33">
        <f t="shared" si="6"/>
        <v>2</v>
      </c>
      <c r="K46" s="33">
        <f>SUM(K37:K45)</f>
        <v>84</v>
      </c>
      <c r="L46" s="29">
        <f>(C46*2.5+D46*7.5+E46*12.5+F46*17.5+G46*22.5+H46*27.5+I46*32.5+J46*37.5)/K46</f>
        <v>17.976190476190474</v>
      </c>
      <c r="M46" s="33">
        <f>SUM(M37:M45)</f>
        <v>84</v>
      </c>
      <c r="N46" s="33"/>
    </row>
    <row r="47" spans="1:14" ht="15.75" customHeight="1" x14ac:dyDescent="0.2"/>
    <row r="48" spans="1:14" ht="20.25" x14ac:dyDescent="0.3">
      <c r="A48" s="17" t="s">
        <v>48</v>
      </c>
    </row>
    <row r="49" spans="1:13" x14ac:dyDescent="0.2">
      <c r="A49" s="5"/>
    </row>
    <row r="50" spans="1:13" ht="54" customHeight="1" x14ac:dyDescent="0.2">
      <c r="A50" s="19" t="s">
        <v>1</v>
      </c>
      <c r="B50" s="10" t="s">
        <v>38</v>
      </c>
      <c r="C50" s="10" t="s">
        <v>17</v>
      </c>
      <c r="D50" s="10" t="s">
        <v>18</v>
      </c>
      <c r="E50" s="10" t="s">
        <v>19</v>
      </c>
      <c r="F50" s="10" t="s">
        <v>20</v>
      </c>
      <c r="G50" s="10" t="s">
        <v>21</v>
      </c>
      <c r="H50" s="10" t="s">
        <v>22</v>
      </c>
      <c r="I50" s="10" t="s">
        <v>23</v>
      </c>
      <c r="J50" s="10" t="s">
        <v>49</v>
      </c>
      <c r="K50" s="26" t="s">
        <v>2</v>
      </c>
      <c r="L50" s="19" t="s">
        <v>43</v>
      </c>
    </row>
    <row r="51" spans="1:13" ht="20.25" x14ac:dyDescent="0.3">
      <c r="A51" s="18" t="s">
        <v>44</v>
      </c>
      <c r="B51" s="28">
        <f>B26</f>
        <v>0</v>
      </c>
      <c r="C51" s="28">
        <f t="shared" ref="C51:G51" si="7">C26</f>
        <v>10</v>
      </c>
      <c r="D51" s="28">
        <f t="shared" si="7"/>
        <v>123</v>
      </c>
      <c r="E51" s="28">
        <f t="shared" si="7"/>
        <v>118</v>
      </c>
      <c r="F51" s="28">
        <f t="shared" si="7"/>
        <v>45</v>
      </c>
      <c r="G51" s="28">
        <f t="shared" si="7"/>
        <v>22</v>
      </c>
      <c r="H51" s="28">
        <f>H26</f>
        <v>3</v>
      </c>
      <c r="I51" s="28">
        <f>I26</f>
        <v>3</v>
      </c>
      <c r="J51" s="28">
        <f>J26</f>
        <v>1453</v>
      </c>
      <c r="K51" s="29">
        <f>(B51*2.5+C51*7.5+D51*12.5+E51*17.5+F51*22.5+G51*27.5+H51*32.5+I51*37.5)/J51</f>
        <v>3.7887130075705437</v>
      </c>
      <c r="L51" s="34">
        <f>C15</f>
        <v>1788</v>
      </c>
    </row>
    <row r="52" spans="1:13" ht="21" thickBot="1" x14ac:dyDescent="0.35">
      <c r="A52" s="21" t="s">
        <v>45</v>
      </c>
      <c r="B52" s="35">
        <f t="shared" ref="B52:J52" si="8">C46</f>
        <v>1</v>
      </c>
      <c r="C52" s="35">
        <f t="shared" si="8"/>
        <v>0</v>
      </c>
      <c r="D52" s="35">
        <f t="shared" si="8"/>
        <v>27</v>
      </c>
      <c r="E52" s="35">
        <f t="shared" si="8"/>
        <v>30</v>
      </c>
      <c r="F52" s="40">
        <f t="shared" si="8"/>
        <v>20</v>
      </c>
      <c r="G52" s="35">
        <f t="shared" si="8"/>
        <v>2</v>
      </c>
      <c r="H52" s="35">
        <f t="shared" si="8"/>
        <v>2</v>
      </c>
      <c r="I52" s="35">
        <f t="shared" si="8"/>
        <v>2</v>
      </c>
      <c r="J52" s="35">
        <f t="shared" si="8"/>
        <v>84</v>
      </c>
      <c r="K52" s="41">
        <f>(B52*2.5+C52*7.5+D52*12.5+E52*17.5+F52*22.5+G52*27.5+H52*32.5+I52*37.5)/J52</f>
        <v>17.976190476190474</v>
      </c>
      <c r="L52" s="42">
        <f>M46</f>
        <v>84</v>
      </c>
    </row>
    <row r="53" spans="1:13" ht="21.75" thickTop="1" thickBot="1" x14ac:dyDescent="0.35">
      <c r="A53" s="37" t="s">
        <v>15</v>
      </c>
      <c r="B53" s="50">
        <f t="shared" ref="B53:J53" si="9">SUM(B51:B52)</f>
        <v>1</v>
      </c>
      <c r="C53" s="47">
        <f t="shared" si="9"/>
        <v>10</v>
      </c>
      <c r="D53" s="47">
        <f t="shared" si="9"/>
        <v>150</v>
      </c>
      <c r="E53" s="47">
        <f t="shared" si="9"/>
        <v>148</v>
      </c>
      <c r="F53" s="39">
        <f t="shared" si="9"/>
        <v>65</v>
      </c>
      <c r="G53" s="50">
        <f t="shared" si="9"/>
        <v>24</v>
      </c>
      <c r="H53" s="47">
        <f t="shared" si="9"/>
        <v>5</v>
      </c>
      <c r="I53" s="47">
        <f t="shared" si="9"/>
        <v>5</v>
      </c>
      <c r="J53" s="47">
        <f t="shared" si="9"/>
        <v>1537</v>
      </c>
      <c r="K53" s="45">
        <f>((B51+B52)*2.5+(C51+C52)*7.5+(D51+D52)*12.5+(E51+E52)*17.5+(F51+F52)*22.5+(G51+G52)*27.5+(H51+H52)*32.5+(I51+I52)*37.5)/J53</f>
        <v>4.5640858815875083</v>
      </c>
      <c r="L53" s="43">
        <f>SUM(L51:L52)</f>
        <v>1872</v>
      </c>
      <c r="M53" s="36"/>
    </row>
    <row r="54" spans="1:13" ht="27" thickTop="1" x14ac:dyDescent="0.3">
      <c r="A54" s="38" t="s">
        <v>0</v>
      </c>
      <c r="B54" s="51">
        <f>B53*100/J53</f>
        <v>6.5061808718282363E-2</v>
      </c>
      <c r="C54" s="48">
        <f>C53*100/J53</f>
        <v>0.65061808718282366</v>
      </c>
      <c r="D54" s="48">
        <f>D53*100/J53</f>
        <v>9.7592713077423561</v>
      </c>
      <c r="E54" s="48">
        <f>E53*100/J53</f>
        <v>9.6291476903057909</v>
      </c>
      <c r="F54" s="48">
        <f>F53*100/J53</f>
        <v>4.2290175666883538</v>
      </c>
      <c r="G54" s="49">
        <f>G53*100/J53</f>
        <v>1.5614834092387768</v>
      </c>
      <c r="H54" s="48">
        <f>H53*100/J53</f>
        <v>0.32530904359141183</v>
      </c>
      <c r="I54" s="48">
        <f>I53*100/J53</f>
        <v>0.32530904359141183</v>
      </c>
      <c r="J54" s="48">
        <f>SUM(B54:I54)</f>
        <v>26.545217957059201</v>
      </c>
      <c r="K54" s="46"/>
      <c r="L54" s="44"/>
    </row>
    <row r="55" spans="1:13" x14ac:dyDescent="0.2">
      <c r="A55" s="22"/>
      <c r="C55" s="22"/>
      <c r="D55" s="22"/>
      <c r="E55" s="22"/>
      <c r="F55" s="22"/>
      <c r="G55" s="22"/>
      <c r="H55" s="22"/>
      <c r="I55" s="22"/>
      <c r="J55" s="22"/>
    </row>
  </sheetData>
  <mergeCells count="8">
    <mergeCell ref="I8:I9"/>
    <mergeCell ref="J8:J9"/>
    <mergeCell ref="A3:D3"/>
    <mergeCell ref="A8:A9"/>
    <mergeCell ref="B8:C8"/>
    <mergeCell ref="D8:D9"/>
    <mergeCell ref="E8:G8"/>
    <mergeCell ref="H8:H9"/>
  </mergeCells>
  <pageMargins left="0.70866141732283472" right="0.70866141732283472" top="0.51181102362204722" bottom="0.31496062992125984" header="0.31496062992125984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TAXI</vt:lpstr>
      <vt:lpstr>TAXI!Zone_d_impression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faboulahdjal</dc:creator>
  <cp:lastModifiedBy>sal ab</cp:lastModifiedBy>
  <cp:lastPrinted>2026-05-10T14:38:02Z</cp:lastPrinted>
  <dcterms:created xsi:type="dcterms:W3CDTF">2021-08-05T13:24:23Z</dcterms:created>
  <dcterms:modified xsi:type="dcterms:W3CDTF">2026-09-25T16:29:53Z</dcterms:modified>
</cp:coreProperties>
</file>